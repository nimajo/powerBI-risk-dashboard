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ma\Documents\GitHub\Risk Register Project\"/>
    </mc:Choice>
  </mc:AlternateContent>
  <xr:revisionPtr revIDLastSave="0" documentId="13_ncr:1_{6E3C7DE6-229D-4B84-BE5E-7AEC258E232E}" xr6:coauthVersionLast="47" xr6:coauthVersionMax="47" xr10:uidLastSave="{00000000-0000-0000-0000-000000000000}"/>
  <bookViews>
    <workbookView xWindow="-120" yWindow="-120" windowWidth="29040" windowHeight="15720" xr2:uid="{B51522A6-1FFE-467F-99DA-6A1DEF01C875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<sst xmlns="http://schemas.openxmlformats.org/spreadsheetml/2006/main" count="113" uniqueCount="102">
  <si>
    <t>Risk Description</t>
  </si>
  <si>
    <t>Likelihood</t>
  </si>
  <si>
    <t>Impact</t>
  </si>
  <si>
    <t>Risk Score</t>
  </si>
  <si>
    <t>Owner</t>
  </si>
  <si>
    <t>Mitigation Status</t>
  </si>
  <si>
    <t>Last Updated</t>
  </si>
  <si>
    <t>Next Review Date</t>
  </si>
  <si>
    <t>R-0001</t>
  </si>
  <si>
    <t>R-0002</t>
  </si>
  <si>
    <t>Laptop theft results in sensitive client data exposure</t>
  </si>
  <si>
    <t>R-0003</t>
  </si>
  <si>
    <t>IT Security Lead</t>
  </si>
  <si>
    <t>In Progress (Disk encryption rollout underway)</t>
  </si>
  <si>
    <t>Third-party SaaS vendor lacks updated SOC2 audit</t>
  </si>
  <si>
    <t>GRC Analyst</t>
  </si>
  <si>
    <t>Not Started (Due dilligence begins next week)</t>
  </si>
  <si>
    <t>Unpatched software leads to system vulnerability exploitation</t>
  </si>
  <si>
    <t>Scheduled (Monthly patching cycle being formalised)</t>
  </si>
  <si>
    <t>R-0004</t>
  </si>
  <si>
    <t>Phishing attack results in employee credential compromise</t>
  </si>
  <si>
    <t>Cyber Awareness Manager</t>
  </si>
  <si>
    <t>In Progress (Security awareness training rollout)</t>
  </si>
  <si>
    <t>Misconfigured cloud storage exposes internal documents</t>
  </si>
  <si>
    <t>Cloud Services Manager</t>
  </si>
  <si>
    <t>In Progress (Access review and configuration audit underway)</t>
  </si>
  <si>
    <t>R-0005</t>
  </si>
  <si>
    <t>R-0006</t>
  </si>
  <si>
    <t>Third‑party vendor suffers a data breach affecting shared information</t>
  </si>
  <si>
    <t>IT Operations Manager</t>
  </si>
  <si>
    <t>In Progress (Backup policy update and automated backups being implemented)</t>
  </si>
  <si>
    <t>Register ID</t>
  </si>
  <si>
    <t>R-0007</t>
  </si>
  <si>
    <t>Weak password practices lead to unauthorised account access</t>
  </si>
  <si>
    <t>Planned - Password policy update scheduled</t>
  </si>
  <si>
    <t>R-0008</t>
  </si>
  <si>
    <t>Phishing email results in malware installation on staff device</t>
  </si>
  <si>
    <t>In Progress - Phishing simulation training underway</t>
  </si>
  <si>
    <t>R-0009</t>
  </si>
  <si>
    <t>Misplaced USB drive containing unencrypted files</t>
  </si>
  <si>
    <t>Data Protection Officer</t>
  </si>
  <si>
    <t>Planned - USB encryption policy rollout</t>
  </si>
  <si>
    <t>R-0010</t>
  </si>
  <si>
    <t>Cloud misconfiguration exposes internal documents publicly</t>
  </si>
  <si>
    <t>In Progress - Configuration audit ongoing</t>
  </si>
  <si>
    <t>R-0011</t>
  </si>
  <si>
    <t>Delayed software patching leaves systems vulnerable</t>
  </si>
  <si>
    <t>In Progress - Automated patching deployment</t>
  </si>
  <si>
    <t>R-0012</t>
  </si>
  <si>
    <t>Third-party vendor fails to meet security requirements</t>
  </si>
  <si>
    <t>Vendor Management Lead</t>
  </si>
  <si>
    <t>Planned - Vendor security questionnaire pending</t>
  </si>
  <si>
    <t>R-0013</t>
  </si>
  <si>
    <t>Accidental email sent to wrong recipient exposes personal data</t>
  </si>
  <si>
    <t>In Progress - Email DLP rules being configured</t>
  </si>
  <si>
    <t>R-0014</t>
  </si>
  <si>
    <t>Server outage disrupts business operations</t>
  </si>
  <si>
    <t>IT Infrastructure Lead</t>
  </si>
  <si>
    <t>Planned - High-availability upgrade proposal</t>
  </si>
  <si>
    <t>R-0015</t>
  </si>
  <si>
    <t>Inadequate access reviews allow former staff to retain system access</t>
  </si>
  <si>
    <t>HR &amp; IT Access Control</t>
  </si>
  <si>
    <t>In Progress - Quarterly access review process</t>
  </si>
  <si>
    <t>R-0016</t>
  </si>
  <si>
    <t>Weak Wi-Fi security enables unauthorised network access</t>
  </si>
  <si>
    <t>Network Administrator</t>
  </si>
  <si>
    <t>Planned - WPA3 upgrade and segmentation</t>
  </si>
  <si>
    <t>R-0017</t>
  </si>
  <si>
    <t>Critical database breach exposes sensitive client records</t>
  </si>
  <si>
    <t>In Progress - Emergency incident response underway</t>
  </si>
  <si>
    <t>R-0018</t>
  </si>
  <si>
    <t>Ransomware attack encrypts core business systems</t>
  </si>
  <si>
    <t>Planned - Network segmentation and EDR upgrade</t>
  </si>
  <si>
    <t>R-0019</t>
  </si>
  <si>
    <t>Major cloud outage disrupts customer-facing services</t>
  </si>
  <si>
    <t>In Progress - Multi-region redundancy implementation</t>
  </si>
  <si>
    <t>R-0020</t>
  </si>
  <si>
    <t>Insider threat intentionally exfiltrates confidential data</t>
  </si>
  <si>
    <t>Planned - Privileged access monitoring rollout</t>
  </si>
  <si>
    <t>R-0021</t>
  </si>
  <si>
    <t>Failure of primary data centre causes full service downtime</t>
  </si>
  <si>
    <t>In Progress - Disaster recovery testing</t>
  </si>
  <si>
    <t>R-0022</t>
  </si>
  <si>
    <t>Minor software bug causes occasional UI display issues</t>
  </si>
  <si>
    <t>Product Team Lead</t>
  </si>
  <si>
    <t>Planned - Patch scheduled for next sprint</t>
  </si>
  <si>
    <t>R-0023</t>
  </si>
  <si>
    <t>Non-critical documentation stored in outdated format</t>
  </si>
  <si>
    <t>Compliance Officer</t>
  </si>
  <si>
    <t>Planned - Documentation refresh project</t>
  </si>
  <si>
    <t>R-0024</t>
  </si>
  <si>
    <t>Low-impact printer malfunction in admin office</t>
  </si>
  <si>
    <t>Facilities Manager</t>
  </si>
  <si>
    <t>In Progress - Replacement ordered</t>
  </si>
  <si>
    <t>R-0025</t>
  </si>
  <si>
    <t>Occasional delays in internal email delivery</t>
  </si>
  <si>
    <t>IT Support Lead</t>
  </si>
  <si>
    <t>Planned - Mail server optimisation</t>
  </si>
  <si>
    <t>R-0026</t>
  </si>
  <si>
    <t>Outdated training material on intranet</t>
  </si>
  <si>
    <t>HR Training Manager</t>
  </si>
  <si>
    <t>In Progress - Content update 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</si>
</sst>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/m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/>
    <xf numFmtId="49" fontId="0" fillId="0" borderId="1" xfId="0" applyNumberFormat="1" applyBorder="1" applyAlignment="1"/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1" fontId="1" fillId="0" borderId="1" xfId="0" applyNumberFormat="1" applyFont="1" applyBorder="1" applyAlignment="1"/>
    <xf numFmtId="0" fontId="0" fillId="0" borderId="1" xfId="0" applyBorder="1" applyAlignment="1"/>
    <xf numFmtId="49" fontId="0" fillId="0" borderId="2" xfId="0" applyNumberFormat="1" applyBorder="1" applyAlignment="1"/>
    <xf numFmtId="167" fontId="0" fillId="0" borderId="0" xfId="0" applyNumberFormat="1" applyAlignment="1"/>
    <xf numFmtId="1" fontId="0" fillId="0" borderId="1" xfId="0" applyNumberFormat="1" applyBorder="1" applyAlignment="1"/>
    <xf numFmtId="167" fontId="0" fillId="0" borderId="1" xfId="0" applyNumberFormat="1" applyBorder="1" applyAlignment="1"/>
    <xf numFmtId="1" fontId="0" fillId="0" borderId="2" xfId="0" applyNumberFormat="1" applyBorder="1" applyAlignment="1"/>
    <xf numFmtId="167" fontId="0" fillId="0" borderId="2" xfId="0" applyNumberFormat="1" applyBorder="1" applyAlignment="1"/>
  </cellXfs>
  <cellStyles count="1">
    <cellStyle name="Normal" xfId="0" builtinId="0"/>
  </cellStyles>
  <dxfs count="11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67" formatCode="[$-409]d/mmm/yy;@"/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[$-409]d/mmm/yy;@"/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B080F-44B4-4004-AD22-2F9F6DD2BE04}" name="Table1" displayName="Table1" ref="A1:I27" totalsRowShown="0" headerRowDxfId="1" dataDxfId="0">
  <autoFilter ref="A1:I27" xr:uid="{F5FB080F-44B4-4004-AD22-2F9F6DD2BE04}"/>
  <tableColumns count="9">
    <tableColumn id="1" xr3:uid="{CB562EFD-9DD1-4854-85FC-90E30226D0F8}" name="Register ID" dataDxfId="10"/>
    <tableColumn id="2" xr3:uid="{94C120AC-2DB7-4AEC-B731-01FEAD0F7392}" name="Risk Description" dataDxfId="9"/>
    <tableColumn id="3" xr3:uid="{8E6D4A50-DDB6-48FC-AFA7-A76ACA128A8D}" name="Likelihood" dataDxfId="8"/>
    <tableColumn id="4" xr3:uid="{F2A4DA52-A0FE-48EE-9CD2-725075E41941}" name="Impact" dataDxfId="7"/>
    <tableColumn id="5" xr3:uid="{A39A4B2E-0805-4ACC-B6CC-5C97D476591D}" name="Risk Score" dataDxfId="6">
      <calculatedColumnFormula>Table1[[#This Row],[Likelihood]]*Table1[[#This Row],[Impact]]</calculatedColumnFormula>
    </tableColumn>
    <tableColumn id="6" xr3:uid="{AC379279-9BD6-49E7-B76D-EBE1C45F50C5}" name="Owner" dataDxfId="5"/>
    <tableColumn id="7" xr3:uid="{62318425-244E-48E6-A5F5-5A20ED42CCEA}" name="Mitigation Status" dataDxfId="4"/>
    <tableColumn id="8" xr3:uid="{DB0E5BA8-5F9D-4BA0-A7FE-0BE749F5E09B}" name="Last Updated" dataDxfId="3"/>
    <tableColumn id="9" xr3:uid="{06FBFDAD-90C6-4CB6-9C58-8E05298E8608}" name="Next Review Da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9654-E600-45E5-AE8E-E883F6B74A4E}">
  <dimension ref="A1:I27"/>
  <sheetViews>
    <sheetView tabSelected="1" workbookViewId="0">
      <selection activeCell="G32" sqref="G32"/>
    </sheetView>
  </sheetViews>
  <sheetFormatPr defaultRowHeight="15" x14ac:dyDescent="0.25"/>
  <cols>
    <col min="1" max="1" width="13.28515625" style="4" bestFit="1" customWidth="1"/>
    <col min="2" max="2" width="63.42578125" style="4" bestFit="1" customWidth="1"/>
    <col min="3" max="3" width="12.7109375" style="4" bestFit="1" customWidth="1"/>
    <col min="4" max="4" width="9.42578125" style="4" bestFit="1" customWidth="1"/>
    <col min="5" max="5" width="12.7109375" style="4" bestFit="1" customWidth="1"/>
    <col min="6" max="6" width="24.42578125" style="4" bestFit="1" customWidth="1"/>
    <col min="7" max="7" width="72.85546875" style="4" bestFit="1" customWidth="1"/>
    <col min="8" max="8" width="15" style="4" bestFit="1" customWidth="1"/>
    <col min="9" max="9" width="19.5703125" style="4" bestFit="1" customWidth="1"/>
    <col min="10" max="16384" width="9.140625" style="4"/>
  </cols>
  <sheetData>
    <row r="1" spans="1:9" x14ac:dyDescent="0.25">
      <c r="A1" s="4" t="s">
        <v>31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9" t="s">
        <v>7</v>
      </c>
    </row>
    <row r="2" spans="1:9" x14ac:dyDescent="0.25">
      <c r="A2" s="1" t="s">
        <v>8</v>
      </c>
      <c r="B2" s="2" t="s">
        <v>10</v>
      </c>
      <c r="C2" s="10">
        <v>4</v>
      </c>
      <c r="D2" s="10">
        <v>5</v>
      </c>
      <c r="E2" s="6">
        <f>Table1[[#This Row],[Likelihood]]*Table1[[#This Row],[Impact]]</f>
        <v>20</v>
      </c>
      <c r="F2" s="3" t="s">
        <v>12</v>
      </c>
      <c r="G2" s="3" t="s">
        <v>13</v>
      </c>
      <c r="H2" s="11">
        <v>46026</v>
      </c>
      <c r="I2" s="11">
        <v>46055</v>
      </c>
    </row>
    <row r="3" spans="1:9" x14ac:dyDescent="0.25">
      <c r="A3" s="1" t="s">
        <v>9</v>
      </c>
      <c r="B3" s="3" t="s">
        <v>14</v>
      </c>
      <c r="C3" s="10">
        <v>3</v>
      </c>
      <c r="D3" s="10">
        <v>4</v>
      </c>
      <c r="E3" s="6">
        <f>Table1[[#This Row],[Likelihood]]*Table1[[#This Row],[Impact]]</f>
        <v>12</v>
      </c>
      <c r="F3" s="3" t="s">
        <v>15</v>
      </c>
      <c r="G3" s="3" t="s">
        <v>16</v>
      </c>
      <c r="H3" s="11">
        <v>46023</v>
      </c>
      <c r="I3" s="11">
        <v>46070</v>
      </c>
    </row>
    <row r="4" spans="1:9" x14ac:dyDescent="0.25">
      <c r="A4" s="1" t="s">
        <v>11</v>
      </c>
      <c r="B4" s="7" t="s">
        <v>17</v>
      </c>
      <c r="C4" s="10">
        <v>3</v>
      </c>
      <c r="D4" s="10">
        <v>5</v>
      </c>
      <c r="E4" s="6">
        <f>Table1[[#This Row],[Likelihood]]*Table1[[#This Row],[Impact]]</f>
        <v>15</v>
      </c>
      <c r="F4" s="3" t="s">
        <v>12</v>
      </c>
      <c r="G4" s="3" t="s">
        <v>18</v>
      </c>
      <c r="H4" s="11">
        <v>46038</v>
      </c>
      <c r="I4" s="11">
        <v>46069</v>
      </c>
    </row>
    <row r="5" spans="1:9" x14ac:dyDescent="0.25">
      <c r="A5" s="1" t="s">
        <v>19</v>
      </c>
      <c r="B5" s="3" t="s">
        <v>20</v>
      </c>
      <c r="C5" s="10">
        <v>4</v>
      </c>
      <c r="D5" s="10">
        <v>4</v>
      </c>
      <c r="E5" s="6">
        <f>Table1[[#This Row],[Likelihood]]*Table1[[#This Row],[Impact]]</f>
        <v>16</v>
      </c>
      <c r="F5" s="3" t="s">
        <v>21</v>
      </c>
      <c r="G5" s="3" t="s">
        <v>22</v>
      </c>
      <c r="H5" s="11">
        <v>46059</v>
      </c>
      <c r="I5" s="11">
        <v>46068</v>
      </c>
    </row>
    <row r="6" spans="1:9" x14ac:dyDescent="0.25">
      <c r="A6" s="1" t="s">
        <v>26</v>
      </c>
      <c r="B6" s="3" t="s">
        <v>23</v>
      </c>
      <c r="C6" s="10">
        <v>3</v>
      </c>
      <c r="D6" s="10">
        <v>5</v>
      </c>
      <c r="E6" s="6">
        <f>Table1[[#This Row],[Likelihood]]*Table1[[#This Row],[Impact]]</f>
        <v>15</v>
      </c>
      <c r="F6" s="7" t="s">
        <v>24</v>
      </c>
      <c r="G6" s="7" t="s">
        <v>25</v>
      </c>
      <c r="H6" s="11">
        <v>46059</v>
      </c>
      <c r="I6" s="11">
        <v>46068</v>
      </c>
    </row>
    <row r="7" spans="1:9" x14ac:dyDescent="0.25">
      <c r="A7" s="1" t="s">
        <v>27</v>
      </c>
      <c r="B7" s="3" t="s">
        <v>28</v>
      </c>
      <c r="C7" s="10">
        <v>3</v>
      </c>
      <c r="D7" s="10">
        <v>4</v>
      </c>
      <c r="E7" s="6">
        <f>Table1[[#This Row],[Likelihood]]*Table1[[#This Row],[Impact]]</f>
        <v>12</v>
      </c>
      <c r="F7" s="7" t="s">
        <v>29</v>
      </c>
      <c r="G7" s="4" t="s">
        <v>30</v>
      </c>
      <c r="H7" s="11">
        <v>46059</v>
      </c>
      <c r="I7" s="11">
        <v>46078</v>
      </c>
    </row>
    <row r="8" spans="1:9" x14ac:dyDescent="0.25">
      <c r="A8" s="1" t="s">
        <v>32</v>
      </c>
      <c r="B8" s="3" t="s">
        <v>33</v>
      </c>
      <c r="C8" s="10">
        <v>3</v>
      </c>
      <c r="D8" s="10">
        <v>4</v>
      </c>
      <c r="E8" s="6">
        <f>Table1[[#This Row],[Likelihood]]*Table1[[#This Row],[Impact]]</f>
        <v>12</v>
      </c>
      <c r="F8" s="3" t="s">
        <v>12</v>
      </c>
      <c r="G8" s="3" t="s">
        <v>34</v>
      </c>
      <c r="H8" s="11">
        <v>46063</v>
      </c>
      <c r="I8" s="11">
        <v>46091</v>
      </c>
    </row>
    <row r="9" spans="1:9" x14ac:dyDescent="0.25">
      <c r="A9" s="1" t="s">
        <v>35</v>
      </c>
      <c r="B9" s="3" t="s">
        <v>36</v>
      </c>
      <c r="C9" s="10">
        <v>4</v>
      </c>
      <c r="D9" s="10">
        <v>4</v>
      </c>
      <c r="E9" s="6">
        <f>Table1[[#This Row],[Likelihood]]*Table1[[#This Row],[Impact]]</f>
        <v>16</v>
      </c>
      <c r="F9" s="3" t="s">
        <v>21</v>
      </c>
      <c r="G9" s="3" t="s">
        <v>37</v>
      </c>
      <c r="H9" s="11">
        <v>46063</v>
      </c>
      <c r="I9" s="11">
        <v>46077</v>
      </c>
    </row>
    <row r="10" spans="1:9" x14ac:dyDescent="0.25">
      <c r="A10" s="1" t="s">
        <v>38</v>
      </c>
      <c r="B10" s="3" t="s">
        <v>39</v>
      </c>
      <c r="C10" s="10">
        <v>2</v>
      </c>
      <c r="D10" s="10">
        <v>5</v>
      </c>
      <c r="E10" s="6">
        <f>Table1[[#This Row],[Likelihood]]*Table1[[#This Row],[Impact]]</f>
        <v>10</v>
      </c>
      <c r="F10" s="3" t="s">
        <v>40</v>
      </c>
      <c r="G10" s="3" t="s">
        <v>41</v>
      </c>
      <c r="H10" s="11">
        <v>46063</v>
      </c>
      <c r="I10" s="11">
        <v>46093</v>
      </c>
    </row>
    <row r="11" spans="1:9" x14ac:dyDescent="0.25">
      <c r="A11" s="1" t="s">
        <v>42</v>
      </c>
      <c r="B11" s="3" t="s">
        <v>43</v>
      </c>
      <c r="C11" s="10">
        <v>3</v>
      </c>
      <c r="D11" s="10">
        <v>5</v>
      </c>
      <c r="E11" s="6">
        <f>Table1[[#This Row],[Likelihood]]*Table1[[#This Row],[Impact]]</f>
        <v>15</v>
      </c>
      <c r="F11" s="3" t="s">
        <v>24</v>
      </c>
      <c r="G11" s="3" t="s">
        <v>44</v>
      </c>
      <c r="H11" s="11">
        <v>46063</v>
      </c>
      <c r="I11" s="11">
        <v>46073</v>
      </c>
    </row>
    <row r="12" spans="1:9" x14ac:dyDescent="0.25">
      <c r="A12" s="1" t="s">
        <v>45</v>
      </c>
      <c r="B12" s="3" t="s">
        <v>46</v>
      </c>
      <c r="C12" s="10">
        <v>4</v>
      </c>
      <c r="D12" s="10">
        <v>4</v>
      </c>
      <c r="E12" s="6">
        <f>Table1[[#This Row],[Likelihood]]*Table1[[#This Row],[Impact]]</f>
        <v>16</v>
      </c>
      <c r="F12" s="3" t="s">
        <v>29</v>
      </c>
      <c r="G12" s="3" t="s">
        <v>47</v>
      </c>
      <c r="H12" s="11">
        <v>46063</v>
      </c>
      <c r="I12" s="11">
        <v>46086</v>
      </c>
    </row>
    <row r="13" spans="1:9" x14ac:dyDescent="0.25">
      <c r="A13" s="1" t="s">
        <v>48</v>
      </c>
      <c r="B13" s="3" t="s">
        <v>49</v>
      </c>
      <c r="C13" s="10">
        <v>2</v>
      </c>
      <c r="D13" s="10">
        <v>4</v>
      </c>
      <c r="E13" s="6">
        <f>Table1[[#This Row],[Likelihood]]*Table1[[#This Row],[Impact]]</f>
        <v>8</v>
      </c>
      <c r="F13" s="3" t="s">
        <v>50</v>
      </c>
      <c r="G13" s="3" t="s">
        <v>51</v>
      </c>
      <c r="H13" s="11">
        <v>46063</v>
      </c>
      <c r="I13" s="11">
        <v>46096</v>
      </c>
    </row>
    <row r="14" spans="1:9" x14ac:dyDescent="0.25">
      <c r="A14" s="1" t="s">
        <v>52</v>
      </c>
      <c r="B14" s="3" t="s">
        <v>53</v>
      </c>
      <c r="C14" s="10">
        <v>3</v>
      </c>
      <c r="D14" s="10">
        <v>4</v>
      </c>
      <c r="E14" s="6">
        <f>Table1[[#This Row],[Likelihood]]*Table1[[#This Row],[Impact]]</f>
        <v>12</v>
      </c>
      <c r="F14" s="3" t="s">
        <v>40</v>
      </c>
      <c r="G14" s="3" t="s">
        <v>54</v>
      </c>
      <c r="H14" s="11">
        <v>46063</v>
      </c>
      <c r="I14" s="11">
        <v>46081</v>
      </c>
    </row>
    <row r="15" spans="1:9" x14ac:dyDescent="0.25">
      <c r="A15" s="1" t="s">
        <v>55</v>
      </c>
      <c r="B15" s="3" t="s">
        <v>56</v>
      </c>
      <c r="C15" s="10">
        <v>2</v>
      </c>
      <c r="D15" s="10">
        <v>5</v>
      </c>
      <c r="E15" s="6">
        <f>Table1[[#This Row],[Likelihood]]*Table1[[#This Row],[Impact]]</f>
        <v>10</v>
      </c>
      <c r="F15" s="3" t="s">
        <v>57</v>
      </c>
      <c r="G15" s="3" t="s">
        <v>58</v>
      </c>
      <c r="H15" s="11">
        <v>46063</v>
      </c>
      <c r="I15" s="11">
        <v>46099</v>
      </c>
    </row>
    <row r="16" spans="1:9" x14ac:dyDescent="0.25">
      <c r="A16" s="1" t="s">
        <v>59</v>
      </c>
      <c r="B16" s="3" t="s">
        <v>60</v>
      </c>
      <c r="C16" s="10">
        <v>3</v>
      </c>
      <c r="D16" s="10">
        <v>5</v>
      </c>
      <c r="E16" s="6">
        <f>Table1[[#This Row],[Likelihood]]*Table1[[#This Row],[Impact]]</f>
        <v>15</v>
      </c>
      <c r="F16" s="3" t="s">
        <v>61</v>
      </c>
      <c r="G16" s="3" t="s">
        <v>62</v>
      </c>
      <c r="H16" s="11">
        <v>46063</v>
      </c>
      <c r="I16" s="11">
        <v>46078</v>
      </c>
    </row>
    <row r="17" spans="1:9" x14ac:dyDescent="0.25">
      <c r="A17" s="5" t="s">
        <v>63</v>
      </c>
      <c r="B17" s="8" t="s">
        <v>64</v>
      </c>
      <c r="C17" s="12">
        <v>3</v>
      </c>
      <c r="D17" s="12">
        <v>4</v>
      </c>
      <c r="E17" s="6">
        <f>Table1[[#This Row],[Likelihood]]*Table1[[#This Row],[Impact]]</f>
        <v>12</v>
      </c>
      <c r="F17" s="8" t="s">
        <v>65</v>
      </c>
      <c r="G17" s="8" t="s">
        <v>66</v>
      </c>
      <c r="H17" s="13">
        <v>46063</v>
      </c>
      <c r="I17" s="13">
        <v>46095</v>
      </c>
    </row>
    <row r="18" spans="1:9" x14ac:dyDescent="0.25">
      <c r="A18" s="1" t="s">
        <v>67</v>
      </c>
      <c r="B18" s="3" t="s">
        <v>68</v>
      </c>
      <c r="C18" s="10">
        <v>5</v>
      </c>
      <c r="D18" s="10">
        <v>5</v>
      </c>
      <c r="E18" s="6">
        <f>Table1[[#This Row],[Likelihood]]*Table1[[#This Row],[Impact]]</f>
        <v>25</v>
      </c>
      <c r="F18" s="3" t="s">
        <v>12</v>
      </c>
      <c r="G18" s="3" t="s">
        <v>69</v>
      </c>
      <c r="H18" s="11">
        <v>46063</v>
      </c>
      <c r="I18" s="11">
        <v>46065</v>
      </c>
    </row>
    <row r="19" spans="1:9" x14ac:dyDescent="0.25">
      <c r="A19" s="1" t="s">
        <v>70</v>
      </c>
      <c r="B19" s="3" t="s">
        <v>71</v>
      </c>
      <c r="C19" s="10">
        <v>5</v>
      </c>
      <c r="D19" s="10">
        <v>5</v>
      </c>
      <c r="E19" s="6">
        <f>Table1[[#This Row],[Likelihood]]*Table1[[#This Row],[Impact]]</f>
        <v>25</v>
      </c>
      <c r="F19" s="3" t="s">
        <v>29</v>
      </c>
      <c r="G19" s="3" t="s">
        <v>72</v>
      </c>
      <c r="H19" s="11">
        <v>46063</v>
      </c>
      <c r="I19" s="11">
        <v>46073</v>
      </c>
    </row>
    <row r="20" spans="1:9" x14ac:dyDescent="0.25">
      <c r="A20" s="1" t="s">
        <v>73</v>
      </c>
      <c r="B20" s="3" t="s">
        <v>74</v>
      </c>
      <c r="C20" s="10">
        <v>4</v>
      </c>
      <c r="D20" s="10">
        <v>5</v>
      </c>
      <c r="E20" s="6">
        <f>Table1[[#This Row],[Likelihood]]*Table1[[#This Row],[Impact]]</f>
        <v>20</v>
      </c>
      <c r="F20" s="3" t="s">
        <v>24</v>
      </c>
      <c r="G20" s="3" t="s">
        <v>75</v>
      </c>
      <c r="H20" s="11">
        <v>46063</v>
      </c>
      <c r="I20" s="11">
        <v>46071</v>
      </c>
    </row>
    <row r="21" spans="1:9" x14ac:dyDescent="0.25">
      <c r="A21" s="1" t="s">
        <v>76</v>
      </c>
      <c r="B21" s="3" t="s">
        <v>77</v>
      </c>
      <c r="C21" s="10">
        <v>4</v>
      </c>
      <c r="D21" s="10">
        <v>5</v>
      </c>
      <c r="E21" s="6">
        <f>Table1[[#This Row],[Likelihood]]*Table1[[#This Row],[Impact]]</f>
        <v>20</v>
      </c>
      <c r="F21" s="3" t="s">
        <v>40</v>
      </c>
      <c r="G21" s="3" t="s">
        <v>78</v>
      </c>
      <c r="H21" s="11">
        <v>46063</v>
      </c>
      <c r="I21" s="11">
        <v>46078</v>
      </c>
    </row>
    <row r="22" spans="1:9" x14ac:dyDescent="0.25">
      <c r="A22" s="5" t="s">
        <v>79</v>
      </c>
      <c r="B22" s="8" t="s">
        <v>80</v>
      </c>
      <c r="C22" s="12">
        <v>5</v>
      </c>
      <c r="D22" s="12">
        <v>4</v>
      </c>
      <c r="E22" s="6">
        <f>Table1[[#This Row],[Likelihood]]*Table1[[#This Row],[Impact]]</f>
        <v>20</v>
      </c>
      <c r="F22" s="8" t="s">
        <v>57</v>
      </c>
      <c r="G22" s="8" t="s">
        <v>81</v>
      </c>
      <c r="H22" s="13">
        <v>46063</v>
      </c>
      <c r="I22" s="13">
        <v>46081</v>
      </c>
    </row>
    <row r="23" spans="1:9" x14ac:dyDescent="0.25">
      <c r="A23" s="1" t="s">
        <v>82</v>
      </c>
      <c r="B23" s="3" t="s">
        <v>83</v>
      </c>
      <c r="C23" s="10">
        <v>1</v>
      </c>
      <c r="D23" s="10">
        <v>2</v>
      </c>
      <c r="E23" s="6">
        <f>Table1[[#This Row],[Likelihood]]*Table1[[#This Row],[Impact]]</f>
        <v>2</v>
      </c>
      <c r="F23" s="3" t="s">
        <v>84</v>
      </c>
      <c r="G23" s="3" t="s">
        <v>85</v>
      </c>
      <c r="H23" s="11">
        <v>46063</v>
      </c>
      <c r="I23" s="11">
        <v>46101</v>
      </c>
    </row>
    <row r="24" spans="1:9" x14ac:dyDescent="0.25">
      <c r="A24" s="1" t="s">
        <v>86</v>
      </c>
      <c r="B24" s="3" t="s">
        <v>87</v>
      </c>
      <c r="C24" s="10">
        <v>1</v>
      </c>
      <c r="D24" s="10">
        <v>1</v>
      </c>
      <c r="E24" s="6">
        <f>Table1[[#This Row],[Likelihood]]*Table1[[#This Row],[Impact]]</f>
        <v>1</v>
      </c>
      <c r="F24" s="3" t="s">
        <v>88</v>
      </c>
      <c r="G24" s="3" t="s">
        <v>89</v>
      </c>
      <c r="H24" s="11">
        <v>46063</v>
      </c>
      <c r="I24" s="11">
        <v>46111</v>
      </c>
    </row>
    <row r="25" spans="1:9" x14ac:dyDescent="0.25">
      <c r="A25" s="1" t="s">
        <v>90</v>
      </c>
      <c r="B25" s="3" t="s">
        <v>91</v>
      </c>
      <c r="C25" s="10">
        <v>1</v>
      </c>
      <c r="D25" s="10">
        <v>1</v>
      </c>
      <c r="E25" s="6">
        <f>Table1[[#This Row],[Likelihood]]*Table1[[#This Row],[Impact]]</f>
        <v>1</v>
      </c>
      <c r="F25" s="3" t="s">
        <v>92</v>
      </c>
      <c r="G25" s="3" t="s">
        <v>93</v>
      </c>
      <c r="H25" s="11">
        <v>46063</v>
      </c>
      <c r="I25" s="11">
        <v>46096</v>
      </c>
    </row>
    <row r="26" spans="1:9" x14ac:dyDescent="0.25">
      <c r="A26" s="1" t="s">
        <v>94</v>
      </c>
      <c r="B26" s="3" t="s">
        <v>95</v>
      </c>
      <c r="C26" s="10">
        <v>2</v>
      </c>
      <c r="D26" s="10">
        <v>1</v>
      </c>
      <c r="E26" s="6">
        <f>Table1[[#This Row],[Likelihood]]*Table1[[#This Row],[Impact]]</f>
        <v>2</v>
      </c>
      <c r="F26" s="3" t="s">
        <v>96</v>
      </c>
      <c r="G26" s="3" t="s">
        <v>97</v>
      </c>
      <c r="H26" s="11">
        <v>46063</v>
      </c>
      <c r="I26" s="11">
        <v>46103</v>
      </c>
    </row>
    <row r="27" spans="1:9" x14ac:dyDescent="0.25">
      <c r="A27" s="5" t="s">
        <v>98</v>
      </c>
      <c r="B27" s="8" t="s">
        <v>99</v>
      </c>
      <c r="C27" s="12">
        <v>1</v>
      </c>
      <c r="D27" s="12">
        <v>2</v>
      </c>
      <c r="E27" s="6">
        <f>Table1[[#This Row],[Likelihood]]*Table1[[#This Row],[Impact]]</f>
        <v>2</v>
      </c>
      <c r="F27" s="8" t="s">
        <v>100</v>
      </c>
      <c r="G27" s="8" t="s">
        <v>101</v>
      </c>
      <c r="H27" s="13">
        <v>46063</v>
      </c>
      <c r="I27" s="13">
        <v>46093</v>
      </c>
    </row>
  </sheetData>
  <dataConsolidate/>
  <phoneticPr fontId="2" type="noConversion"/>
  <conditionalFormatting sqref="E2:E27">
    <cfRule type="colorScale" priority="1">
      <colorScale>
        <cfvo type="num" val="1"/>
        <cfvo type="num" val="12.5"/>
        <cfvo type="num" val="25"/>
        <color rgb="FF00B050"/>
        <color rgb="FFFFEB84"/>
        <color rgb="FFC00000"/>
      </colorScale>
    </cfRule>
  </conditionalFormatting>
  <dataValidations count="9">
    <dataValidation allowBlank="1" showInputMessage="1" showErrorMessage="1" promptTitle="Description of the Risk" prompt="Enter the Description" sqref="B2:B3" xr:uid="{F469E6FD-52D7-419C-91BB-C197821A6833}"/>
    <dataValidation allowBlank="1" showInputMessage="1" showErrorMessage="1" promptTitle="Whos responsible for this risk" prompt="Enter the Owner" sqref="F2:F5" xr:uid="{10F3A003-058E-4F1F-8E73-99FD6F791EB0}"/>
    <dataValidation allowBlank="1" showInputMessage="1" showErrorMessage="1" promptTitle="Current status for the risk" prompt="Enter the current status" sqref="G2:G5" xr:uid="{BAF25FBD-F723-49D9-8B10-6EE14363F02A}"/>
    <dataValidation type="list" allowBlank="1" showInputMessage="1" showErrorMessage="1" promptTitle="Impact of Risk occuring" prompt="Select a number between 1 and 5." sqref="D2:D27" xr:uid="{B9953D87-2C11-4E01-82A9-D800D3E68C41}">
      <formula1>"1,2,3,4,5"</formula1>
    </dataValidation>
    <dataValidation type="date" operator="greaterThanOrEqual" allowBlank="1" showInputMessage="1" showErrorMessage="1" error="Next review date cannot be before the Last Updated date." promptTitle="Next review date of this risk" prompt="Enter a Date" sqref="I2:I27" xr:uid="{CD730F58-4E82-41EB-BD1A-401A800EEE76}">
      <formula1>H2</formula1>
    </dataValidation>
    <dataValidation allowBlank="1" showInputMessage="1" showErrorMessage="1" promptTitle="Last Update of this Risk" prompt="Enter a Date" sqref="H2:H27" xr:uid="{0B9B4F0A-F074-4D4A-B943-409B213A59A1}"/>
    <dataValidation type="list" allowBlank="1" showInputMessage="1" showErrorMessage="1" promptTitle="Likelihood of Risk Occuring" prompt="Select a number between 1 and 5." sqref="C2:C27" xr:uid="{9378D2FB-8ADF-48B5-AE04-3117967AB0D0}">
      <formula1>"1,2,3,4,5"</formula1>
    </dataValidation>
    <dataValidation allowBlank="1" showInputMessage="1" showErrorMessage="1" promptTitle="Risk Matrix Score" prompt="Calculated Value from Likelihood and Impact_x000a_" sqref="E2:E27" xr:uid="{1A1A49A2-292E-4ECC-9AC2-DEBA93BDE9F8}"/>
    <dataValidation allowBlank="1" showInputMessage="1" showErrorMessage="1" promptTitle="Unique Identifier of the Risk" prompt="Enter ID of the Risk with the format R-xxx" sqref="A2:A27" xr:uid="{9D19EE81-B5BA-47CA-ADBF-210D0B4723AC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Jokar</dc:creator>
  <cp:lastModifiedBy>Nima Jokar</cp:lastModifiedBy>
  <dcterms:created xsi:type="dcterms:W3CDTF">2026-02-10T18:18:17Z</dcterms:created>
  <dcterms:modified xsi:type="dcterms:W3CDTF">2026-02-10T20:26:58Z</dcterms:modified>
</cp:coreProperties>
</file>